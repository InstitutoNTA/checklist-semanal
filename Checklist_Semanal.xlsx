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Semanal" sheetId="1" state="visible" r:id="rId3"/>
    <sheet name="Central de Lin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Digite aqui a data da segunda-feira. As demais datas se ajustam sozinhas.</t>
        </r>
      </text>
    </comment>
  </commentList>
</comments>
</file>

<file path=xl/sharedStrings.xml><?xml version="1.0" encoding="utf-8"?>
<sst xmlns="http://schemas.openxmlformats.org/spreadsheetml/2006/main" count="138" uniqueCount="82">
  <si>
    <t xml:space="preserve">CHECKLIST SEMANAL</t>
  </si>
  <si>
    <t xml:space="preserve">Organize sua semana, acesse os links de cada atividade e marque quando concluir.</t>
  </si>
  <si>
    <t xml:space="preserve">Início da semana:</t>
  </si>
  <si>
    <t xml:space="preserve">Progresso da semana:</t>
  </si>
  <si>
    <t xml:space="preserve">DIA</t>
  </si>
  <si>
    <t xml:space="preserve">DATA</t>
  </si>
  <si>
    <t xml:space="preserve">ATIVIDADE</t>
  </si>
  <si>
    <t xml:space="preserve">LINK / LOCAL</t>
  </si>
  <si>
    <t xml:space="preserve">VITRINE / DESTINO</t>
  </si>
  <si>
    <t xml:space="preserve">STATUS</t>
  </si>
  <si>
    <t xml:space="preserve">OBSERVAÇÕES</t>
  </si>
  <si>
    <t xml:space="preserve">RESUMO POR DIA</t>
  </si>
  <si>
    <t xml:space="preserve">Segunda</t>
  </si>
  <si>
    <t xml:space="preserve">Mentoria IA Negócios - EmpregaDados (antiga)</t>
  </si>
  <si>
    <t xml:space="preserve">🔗 membros.empregadados.com.br</t>
  </si>
  <si>
    <t xml:space="preserve">☐ Pendente</t>
  </si>
  <si>
    <t xml:space="preserve">Dia</t>
  </si>
  <si>
    <t xml:space="preserve">Atividades</t>
  </si>
  <si>
    <t xml:space="preserve">Concluídas</t>
  </si>
  <si>
    <t xml:space="preserve">%</t>
  </si>
  <si>
    <t xml:space="preserve">Inglês Básico EmpregaDados e Pós Eng. Dados e IA - Edição Vídeo</t>
  </si>
  <si>
    <t xml:space="preserve">🔗 institutonta.curseduca.pro</t>
  </si>
  <si>
    <t xml:space="preserve">workshop - inglês, inglês p/ carreira de dados e IA, Aceleração Inglês Basico - vimeo</t>
  </si>
  <si>
    <t xml:space="preserve">Estágio</t>
  </si>
  <si>
    <t xml:space="preserve">📁 Projeto Estágio</t>
  </si>
  <si>
    <t xml:space="preserve">Terça</t>
  </si>
  <si>
    <t xml:space="preserve">Vídeo Mentoria Bianca - EmpregaDados</t>
  </si>
  <si>
    <t xml:space="preserve">🔗 studio.youtube.com</t>
  </si>
  <si>
    <t xml:space="preserve">Dúvidas: Entrevista e Carreira</t>
  </si>
  <si>
    <t xml:space="preserve">Quarta</t>
  </si>
  <si>
    <t xml:space="preserve">Aula de Inglês Profissionais de TI - Arquitetura Avançada (Básico)</t>
  </si>
  <si>
    <t xml:space="preserve">📁 Inglês Básico</t>
  </si>
  <si>
    <t xml:space="preserve">Quinta</t>
  </si>
  <si>
    <t xml:space="preserve">Mentorias Bianca TFTEC - Semana Alternadas - 15/09</t>
  </si>
  <si>
    <t xml:space="preserve">📁 Aulas Carreira em cloud - TFTEC</t>
  </si>
  <si>
    <t xml:space="preserve">Total</t>
  </si>
  <si>
    <t xml:space="preserve">Projeto EmpregaDados - Geovany / Edição Vídeo e Plataforma e capa</t>
  </si>
  <si>
    <t xml:space="preserve">— sem link —</t>
  </si>
  <si>
    <t xml:space="preserve">Clube de Soft skills</t>
  </si>
  <si>
    <t xml:space="preserve">📁 Clube Softskill</t>
  </si>
  <si>
    <t xml:space="preserve">COMO USAR</t>
  </si>
  <si>
    <t xml:space="preserve">Inglês Interm / Avançado EmpregaDados - Eng. Dados e IA - Edição</t>
  </si>
  <si>
    <t xml:space="preserve">1. Digite a data da segunda-feira na célula amarela B4.</t>
  </si>
  <si>
    <t xml:space="preserve">Aceleração Empregados - plataforma na aceleração</t>
  </si>
  <si>
    <t xml:space="preserve">vimeo - pasta aceleração enviar para Ana Clara</t>
  </si>
  <si>
    <t xml:space="preserve">2. Clique no 🔗 da coluna LINK para abrir a plataforma.</t>
  </si>
  <si>
    <t xml:space="preserve">Aula de Inglês Profissionais de TI - Arquitetura Avançada (Avançado)</t>
  </si>
  <si>
    <t xml:space="preserve">📁 Inglês Avançado</t>
  </si>
  <si>
    <t xml:space="preserve">3. 📁 indica o nome da pasta/local (sem link direto).</t>
  </si>
  <si>
    <t xml:space="preserve">4. Em STATUS (amarela), escolha ✔ Concluído na lista.</t>
  </si>
  <si>
    <t xml:space="preserve">Projeto IA - (Workshop e Empregados) - Edição Vídeo e Plataforma</t>
  </si>
  <si>
    <t xml:space="preserve">Curseduca - Workshop e empregaDados</t>
  </si>
  <si>
    <t xml:space="preserve">5. A linha fica verde e riscada; o progresso atualiza sozinho.</t>
  </si>
  <si>
    <t xml:space="preserve">6. Nova semana: troque a data e volte para ☐ Pendente.</t>
  </si>
  <si>
    <t xml:space="preserve">CENTRAL DE LINKS — PASTAS DE VÍDEOS EDITADOS</t>
  </si>
  <si>
    <t xml:space="preserve">﻿Dia da semana</t>
  </si>
  <si>
    <t xml:space="preserve">Aulas</t>
  </si>
  <si>
    <t xml:space="preserve">Link</t>
  </si>
  <si>
    <t xml:space="preserve">Vitrine - Curseduca</t>
  </si>
  <si>
    <t xml:space="preserve">Segunda feira</t>
  </si>
  <si>
    <t xml:space="preserve">Inglês- Básico</t>
  </si>
  <si>
    <t xml:space="preserve">https://institutonta.curseduca.pro/admin/home</t>
  </si>
  <si>
    <t xml:space="preserve">Projeto Estágio</t>
  </si>
  <si>
    <t xml:space="preserve">Mentoria IA - Alternado</t>
  </si>
  <si>
    <t xml:space="preserve">https://membros.empregadados.com.br/</t>
  </si>
  <si>
    <t xml:space="preserve">Terça Feira</t>
  </si>
  <si>
    <t xml:space="preserve">Bianca - EmpregaDados</t>
  </si>
  <si>
    <t xml:space="preserve">https://studio.youtube.com/channel/UCSAIAkpkuuP_lxAr5ixDFnw</t>
  </si>
  <si>
    <t xml:space="preserve">Bianca - TFTEC - Alternado</t>
  </si>
  <si>
    <t xml:space="preserve">Aulas Carreira em cloud - TFTEC</t>
  </si>
  <si>
    <t xml:space="preserve">Terça feira</t>
  </si>
  <si>
    <t xml:space="preserve">Club soft skills</t>
  </si>
  <si>
    <t xml:space="preserve">Clube Softskill</t>
  </si>
  <si>
    <t xml:space="preserve">Inglês - TI - básico</t>
  </si>
  <si>
    <t xml:space="preserve">Inglês Básico</t>
  </si>
  <si>
    <t xml:space="preserve">Quarta feira</t>
  </si>
  <si>
    <t xml:space="preserve">Inglês- inter/avançado</t>
  </si>
  <si>
    <t xml:space="preserve">Aceleração -EmpregaDados</t>
  </si>
  <si>
    <t xml:space="preserve">Quinta feira</t>
  </si>
  <si>
    <t xml:space="preserve">Inglês - TI - interm/avançado</t>
  </si>
  <si>
    <t xml:space="preserve">Inglês Avançado</t>
  </si>
  <si>
    <t xml:space="preserve">Projeto - 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</si>
</sst>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%"/>
    <numFmt numFmtId="167" formatCode="dd/mm&quot; (&quot;ddd\)"/>
    <numFmt numFmtId="168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10"/>
      <color rgb="FFA6A6A6"/>
      <name val="Arial"/>
      <family val="0"/>
      <charset val="1"/>
    </font>
    <font>
      <sz val="9"/>
      <color rgb="FF404040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2E75B6"/>
        <bgColor rgb="FF0563C1"/>
      </patternFill>
    </fill>
    <fill>
      <patternFill patternType="solid">
        <fgColor rgb="FFF2F7FC"/>
        <bgColor rgb="FFFFFFFF"/>
      </patternFill>
    </fill>
    <fill>
      <patternFill patternType="solid">
        <fgColor rgb="FFDDEBF7"/>
        <bgColor rgb="FFE2EFDA"/>
      </patternFill>
    </fill>
    <fill>
      <patternFill patternType="solid">
        <fgColor rgb="FFFFFFFF"/>
        <bgColor rgb="FFF2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strike val="1"/>
        <color rgb="FF548235"/>
      </font>
      <fill>
        <patternFill>
          <bgColor rgb="FFE2EFDA"/>
        </patternFill>
      </fill>
    </dxf>
    <dxf>
      <font>
        <b val="1"/>
        <strike val="0"/>
        <color rgb="FF375623"/>
      </font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membros.empregadados.com.br/" TargetMode="External"/><Relationship Id="rId3" Type="http://schemas.openxmlformats.org/officeDocument/2006/relationships/hyperlink" Target="https://institutonta.curseduca.pro/admin/home" TargetMode="External"/><Relationship Id="rId4" Type="http://schemas.openxmlformats.org/officeDocument/2006/relationships/hyperlink" Target="https://studio.youtube.com/channel/UCSAIAkpkuuP_lxAr5ixDFnw" TargetMode="External"/><Relationship Id="rId5" Type="http://schemas.openxmlformats.org/officeDocument/2006/relationships/hyperlink" Target="https://institutonta.curseduca.pro/admin/home" TargetMode="External"/><Relationship Id="rId6" Type="http://schemas.openxmlformats.org/officeDocument/2006/relationships/hyperlink" Target="https://studio.youtube.com/channel/UCSAIAkpkuuP_lxAr5ixDFnw" TargetMode="External"/><Relationship Id="rId7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nstitutonta.curseduca.pro/admin/home" TargetMode="External"/><Relationship Id="rId2" Type="http://schemas.openxmlformats.org/officeDocument/2006/relationships/hyperlink" Target="https://membros.empregadados.com.br/" TargetMode="External"/><Relationship Id="rId3" Type="http://schemas.openxmlformats.org/officeDocument/2006/relationships/hyperlink" Target="https://studio.youtube.com/channel/UCSAIAkpkuuP_lxAr5ixDFnw" TargetMode="External"/><Relationship Id="rId4" Type="http://schemas.openxmlformats.org/officeDocument/2006/relationships/hyperlink" Target="https://institutonta.curseduca.pro/admin/home" TargetMode="External"/><Relationship Id="rId5" Type="http://schemas.openxmlformats.org/officeDocument/2006/relationships/hyperlink" Target="https://studio.youtube.com/channel/UCSAIAkpkuuP_lxAr5ixDFn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15"/>
    <col collapsed="false" customWidth="true" hidden="false" outlineLevel="0" max="7" min="7" style="0" width="26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9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n">
        <v>46300</v>
      </c>
      <c r="C4" s="5" t="str">
        <f aca="false">"até  "&amp;TEXT(B4+4,"dd/mm/yyyy")&amp;"  (segunda a sexta)"</f>
        <v>até  09/10/2026  (segunda a sexta)</v>
      </c>
    </row>
    <row r="5" customFormat="false" ht="15" hidden="false" customHeight="false" outlineLevel="0" collapsed="false">
      <c r="A5" s="3" t="s">
        <v>3</v>
      </c>
      <c r="B5" s="6" t="n">
        <f aca="false">IFERROR(COUNTIF(F8:F21,"✔ Concluído")/COUNTA(C8:C21),0)</f>
        <v>0</v>
      </c>
      <c r="C5" s="5" t="str">
        <f aca="false">COUNTIF(F8:F21,"✔ Concluído")&amp;" de "&amp;COUNTA(C8:C21)&amp;" atividades concluídas"</f>
        <v>0 de 14 atividades concluídas</v>
      </c>
    </row>
    <row r="7" customFormat="false" ht="21.75" hidden="false" customHeight="true" outlineLevel="0" collapsed="false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I7" s="8" t="s">
        <v>11</v>
      </c>
      <c r="J7" s="8"/>
      <c r="K7" s="8"/>
      <c r="L7" s="8"/>
    </row>
    <row r="8" customFormat="false" ht="33.75" hidden="false" customHeight="true" outlineLevel="0" collapsed="false">
      <c r="A8" s="9" t="s">
        <v>12</v>
      </c>
      <c r="B8" s="10" t="n">
        <f aca="false">$B$4+MATCH(A8,{"Segunda","Terça","Quarta","Quinta","Sexta"},0)-1</f>
        <v>46300</v>
      </c>
      <c r="C8" s="11" t="s">
        <v>13</v>
      </c>
      <c r="D8" s="12" t="s">
        <v>14</v>
      </c>
      <c r="E8" s="13"/>
      <c r="F8" s="14" t="s">
        <v>15</v>
      </c>
      <c r="G8" s="11"/>
      <c r="I8" s="15" t="s">
        <v>16</v>
      </c>
      <c r="J8" s="15" t="s">
        <v>17</v>
      </c>
      <c r="K8" s="15" t="s">
        <v>18</v>
      </c>
      <c r="L8" s="15" t="s">
        <v>19</v>
      </c>
    </row>
    <row r="9" customFormat="false" ht="33.75" hidden="false" customHeight="true" outlineLevel="0" collapsed="false">
      <c r="A9" s="9" t="s">
        <v>12</v>
      </c>
      <c r="B9" s="10" t="n">
        <f aca="false">$B$4+MATCH(A9,{"Segunda","Terça","Quarta","Quinta","Sexta"},0)-1</f>
        <v>46300</v>
      </c>
      <c r="C9" s="11" t="s">
        <v>20</v>
      </c>
      <c r="D9" s="12" t="s">
        <v>21</v>
      </c>
      <c r="E9" s="13" t="s">
        <v>22</v>
      </c>
      <c r="F9" s="14" t="s">
        <v>15</v>
      </c>
      <c r="G9" s="11"/>
      <c r="I9" s="16" t="s">
        <v>12</v>
      </c>
      <c r="J9" s="17" t="n">
        <f aca="false">COUNTIF($A$8:$A$21,I9)</f>
        <v>3</v>
      </c>
      <c r="K9" s="17" t="n">
        <f aca="false">COUNTIFS($A$8:$A$21,I9,$F$8:$F$21,"✔ Concluído")</f>
        <v>0</v>
      </c>
      <c r="L9" s="18" t="n">
        <f aca="false">IFERROR(K9/J9,0)</f>
        <v>0</v>
      </c>
    </row>
    <row r="10" customFormat="false" ht="33.75" hidden="false" customHeight="true" outlineLevel="0" collapsed="false">
      <c r="A10" s="9" t="s">
        <v>12</v>
      </c>
      <c r="B10" s="10" t="n">
        <f aca="false">$B$4+MATCH(A10,{"Segunda","Terça","Quarta","Quinta","Sexta"},0)-1</f>
        <v>46300</v>
      </c>
      <c r="C10" s="11" t="s">
        <v>23</v>
      </c>
      <c r="D10" s="19" t="s">
        <v>24</v>
      </c>
      <c r="E10" s="13"/>
      <c r="F10" s="14" t="s">
        <v>15</v>
      </c>
      <c r="G10" s="11"/>
      <c r="I10" s="16" t="s">
        <v>25</v>
      </c>
      <c r="J10" s="17" t="n">
        <f aca="false">COUNTIF($A$8:$A$21,I10)</f>
        <v>5</v>
      </c>
      <c r="K10" s="17" t="n">
        <f aca="false">COUNTIFS($A$8:$A$21,I10,$F$8:$F$21,"✔ Concluído")</f>
        <v>0</v>
      </c>
      <c r="L10" s="18" t="n">
        <f aca="false">IFERROR(K10/J10,0)</f>
        <v>0</v>
      </c>
    </row>
    <row r="11" customFormat="false" ht="33.75" hidden="false" customHeight="true" outlineLevel="0" collapsed="false">
      <c r="A11" s="20" t="s">
        <v>25</v>
      </c>
      <c r="B11" s="21" t="n">
        <f aca="false">$B$4+MATCH(A11,{"Segunda","Terça","Quarta","Quinta","Sexta"},0)-1</f>
        <v>46301</v>
      </c>
      <c r="C11" s="22" t="s">
        <v>26</v>
      </c>
      <c r="D11" s="23" t="s">
        <v>27</v>
      </c>
      <c r="E11" s="24" t="s">
        <v>28</v>
      </c>
      <c r="F11" s="14" t="s">
        <v>15</v>
      </c>
      <c r="G11" s="22"/>
      <c r="I11" s="16" t="s">
        <v>29</v>
      </c>
      <c r="J11" s="17" t="n">
        <f aca="false">COUNTIF($A$8:$A$21,I11)</f>
        <v>2</v>
      </c>
      <c r="K11" s="17" t="n">
        <f aca="false">COUNTIFS($A$8:$A$21,I11,$F$8:$F$21,"✔ Concluído")</f>
        <v>0</v>
      </c>
      <c r="L11" s="18" t="n">
        <f aca="false">IFERROR(K11/J11,0)</f>
        <v>0</v>
      </c>
    </row>
    <row r="12" customFormat="false" ht="33.75" hidden="false" customHeight="true" outlineLevel="0" collapsed="false">
      <c r="A12" s="20" t="s">
        <v>25</v>
      </c>
      <c r="B12" s="21" t="n">
        <f aca="false">$B$4+MATCH(A12,{"Segunda","Terça","Quarta","Quinta","Sexta"},0)-1</f>
        <v>46301</v>
      </c>
      <c r="C12" s="22" t="s">
        <v>30</v>
      </c>
      <c r="D12" s="25" t="s">
        <v>31</v>
      </c>
      <c r="E12" s="24"/>
      <c r="F12" s="14" t="s">
        <v>15</v>
      </c>
      <c r="G12" s="22"/>
      <c r="I12" s="16" t="s">
        <v>32</v>
      </c>
      <c r="J12" s="17" t="n">
        <f aca="false">COUNTIF($A$8:$A$21,I12)</f>
        <v>4</v>
      </c>
      <c r="K12" s="17" t="n">
        <f aca="false">COUNTIFS($A$8:$A$21,I12,$F$8:$F$21,"✔ Concluído")</f>
        <v>0</v>
      </c>
      <c r="L12" s="18" t="n">
        <f aca="false">IFERROR(K12/J12,0)</f>
        <v>0</v>
      </c>
    </row>
    <row r="13" customFormat="false" ht="33.75" hidden="false" customHeight="true" outlineLevel="0" collapsed="false">
      <c r="A13" s="20" t="s">
        <v>25</v>
      </c>
      <c r="B13" s="21" t="n">
        <f aca="false">$B$4+MATCH(A13,{"Segunda","Terça","Quarta","Quinta","Sexta"},0)-1</f>
        <v>46301</v>
      </c>
      <c r="C13" s="22" t="s">
        <v>33</v>
      </c>
      <c r="D13" s="25" t="s">
        <v>34</v>
      </c>
      <c r="E13" s="24"/>
      <c r="F13" s="14" t="s">
        <v>15</v>
      </c>
      <c r="G13" s="22"/>
      <c r="I13" s="26" t="s">
        <v>35</v>
      </c>
      <c r="J13" s="26" t="n">
        <f aca="false">SUM(J9:J12)</f>
        <v>14</v>
      </c>
      <c r="K13" s="26" t="n">
        <f aca="false">SUM(K9:K12)</f>
        <v>0</v>
      </c>
      <c r="L13" s="27" t="n">
        <f aca="false">IFERROR(K13/J13,0)</f>
        <v>0</v>
      </c>
    </row>
    <row r="14" customFormat="false" ht="33.75" hidden="false" customHeight="true" outlineLevel="0" collapsed="false">
      <c r="A14" s="20" t="s">
        <v>25</v>
      </c>
      <c r="B14" s="21" t="n">
        <f aca="false">$B$4+MATCH(A14,{"Segunda","Terça","Quarta","Quinta","Sexta"},0)-1</f>
        <v>46301</v>
      </c>
      <c r="C14" s="22" t="s">
        <v>36</v>
      </c>
      <c r="D14" s="28" t="s">
        <v>37</v>
      </c>
      <c r="E14" s="24"/>
      <c r="F14" s="14" t="s">
        <v>15</v>
      </c>
      <c r="G14" s="22"/>
    </row>
    <row r="15" customFormat="false" ht="33.75" hidden="false" customHeight="true" outlineLevel="0" collapsed="false">
      <c r="A15" s="20" t="s">
        <v>25</v>
      </c>
      <c r="B15" s="21" t="n">
        <f aca="false">$B$4+MATCH(A15,{"Segunda","Terça","Quarta","Quinta","Sexta"},0)-1</f>
        <v>46301</v>
      </c>
      <c r="C15" s="22" t="s">
        <v>38</v>
      </c>
      <c r="D15" s="25" t="s">
        <v>39</v>
      </c>
      <c r="E15" s="24"/>
      <c r="F15" s="14" t="s">
        <v>15</v>
      </c>
      <c r="G15" s="22"/>
      <c r="I15" s="29" t="s">
        <v>40</v>
      </c>
      <c r="J15" s="29"/>
      <c r="K15" s="29"/>
      <c r="L15" s="29"/>
    </row>
    <row r="16" customFormat="false" ht="33.75" hidden="false" customHeight="true" outlineLevel="0" collapsed="false">
      <c r="A16" s="9" t="s">
        <v>29</v>
      </c>
      <c r="B16" s="10" t="n">
        <f aca="false">$B$4+MATCH(A16,{"Segunda","Terça","Quarta","Quinta","Sexta"},0)-1</f>
        <v>46302</v>
      </c>
      <c r="C16" s="11" t="s">
        <v>41</v>
      </c>
      <c r="D16" s="12" t="s">
        <v>21</v>
      </c>
      <c r="E16" s="13" t="s">
        <v>22</v>
      </c>
      <c r="F16" s="14" t="s">
        <v>15</v>
      </c>
      <c r="G16" s="11"/>
      <c r="I16" s="30" t="s">
        <v>42</v>
      </c>
      <c r="J16" s="30"/>
      <c r="K16" s="30"/>
      <c r="L16" s="30"/>
    </row>
    <row r="17" customFormat="false" ht="33.75" hidden="false" customHeight="true" outlineLevel="0" collapsed="false">
      <c r="A17" s="9" t="s">
        <v>29</v>
      </c>
      <c r="B17" s="10" t="n">
        <f aca="false">$B$4+MATCH(A17,{"Segunda","Terça","Quarta","Quinta","Sexta"},0)-1</f>
        <v>46302</v>
      </c>
      <c r="C17" s="11" t="s">
        <v>43</v>
      </c>
      <c r="D17" s="31" t="s">
        <v>37</v>
      </c>
      <c r="E17" s="13" t="s">
        <v>44</v>
      </c>
      <c r="F17" s="14" t="s">
        <v>15</v>
      </c>
      <c r="G17" s="11"/>
      <c r="I17" s="30" t="s">
        <v>45</v>
      </c>
      <c r="J17" s="30"/>
      <c r="K17" s="30"/>
      <c r="L17" s="30"/>
    </row>
    <row r="18" customFormat="false" ht="33.75" hidden="false" customHeight="true" outlineLevel="0" collapsed="false">
      <c r="A18" s="20" t="s">
        <v>32</v>
      </c>
      <c r="B18" s="21" t="n">
        <f aca="false">$B$4+MATCH(A18,{"Segunda","Terça","Quarta","Quinta","Sexta"},0)-1</f>
        <v>46303</v>
      </c>
      <c r="C18" s="22" t="s">
        <v>46</v>
      </c>
      <c r="D18" s="25" t="s">
        <v>47</v>
      </c>
      <c r="E18" s="24"/>
      <c r="F18" s="14" t="s">
        <v>15</v>
      </c>
      <c r="G18" s="22"/>
      <c r="I18" s="30" t="s">
        <v>48</v>
      </c>
      <c r="J18" s="30"/>
      <c r="K18" s="30"/>
      <c r="L18" s="30"/>
    </row>
    <row r="19" customFormat="false" ht="33.75" hidden="false" customHeight="true" outlineLevel="0" collapsed="false">
      <c r="A19" s="20" t="s">
        <v>32</v>
      </c>
      <c r="B19" s="21" t="n">
        <f aca="false">$B$4+MATCH(A19,{"Segunda","Terça","Quarta","Quinta","Sexta"},0)-1</f>
        <v>46303</v>
      </c>
      <c r="C19" s="22" t="s">
        <v>26</v>
      </c>
      <c r="D19" s="23" t="s">
        <v>27</v>
      </c>
      <c r="E19" s="24" t="s">
        <v>28</v>
      </c>
      <c r="F19" s="14" t="s">
        <v>15</v>
      </c>
      <c r="G19" s="22"/>
      <c r="I19" s="30" t="s">
        <v>49</v>
      </c>
      <c r="J19" s="30"/>
      <c r="K19" s="30"/>
      <c r="L19" s="30"/>
    </row>
    <row r="20" customFormat="false" ht="33.75" hidden="false" customHeight="true" outlineLevel="0" collapsed="false">
      <c r="A20" s="20" t="s">
        <v>32</v>
      </c>
      <c r="B20" s="21" t="n">
        <f aca="false">$B$4+MATCH(A20,{"Segunda","Terça","Quarta","Quinta","Sexta"},0)-1</f>
        <v>46303</v>
      </c>
      <c r="C20" s="22" t="s">
        <v>50</v>
      </c>
      <c r="D20" s="28" t="s">
        <v>37</v>
      </c>
      <c r="E20" s="24" t="s">
        <v>51</v>
      </c>
      <c r="F20" s="14" t="s">
        <v>15</v>
      </c>
      <c r="G20" s="22"/>
      <c r="I20" s="30" t="s">
        <v>52</v>
      </c>
      <c r="J20" s="30"/>
      <c r="K20" s="30"/>
      <c r="L20" s="30"/>
    </row>
    <row r="21" customFormat="false" ht="33.75" hidden="false" customHeight="true" outlineLevel="0" collapsed="false">
      <c r="A21" s="20" t="s">
        <v>32</v>
      </c>
      <c r="B21" s="21" t="n">
        <f aca="false">$B$4+MATCH(A21,{"Segunda","Terça","Quarta","Quinta","Sexta"},0)-1</f>
        <v>46303</v>
      </c>
      <c r="C21" s="22" t="s">
        <v>23</v>
      </c>
      <c r="D21" s="25" t="s">
        <v>24</v>
      </c>
      <c r="E21" s="24"/>
      <c r="F21" s="14" t="s">
        <v>15</v>
      </c>
      <c r="G21" s="22"/>
      <c r="I21" s="30" t="s">
        <v>53</v>
      </c>
      <c r="J21" s="30"/>
      <c r="K21" s="30"/>
      <c r="L21" s="30"/>
    </row>
  </sheetData>
  <mergeCells count="10">
    <mergeCell ref="A1:G1"/>
    <mergeCell ref="A2:G2"/>
    <mergeCell ref="I7:L7"/>
    <mergeCell ref="I15:L15"/>
    <mergeCell ref="I16:L16"/>
    <mergeCell ref="I17:L17"/>
    <mergeCell ref="I18:L18"/>
    <mergeCell ref="I19:L19"/>
    <mergeCell ref="I20:L20"/>
    <mergeCell ref="I21:L21"/>
  </mergeCells>
  <conditionalFormatting sqref="B5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{ABD7BF9A-3BAF-425C-9F77-3555EDD8D24F}</x14:id>
        </ext>
      </extLst>
    </cfRule>
  </conditionalFormatting>
  <conditionalFormatting sqref="A8:G21">
    <cfRule type="expression" priority="3" aboveAverage="0" equalAverage="0" bottom="0" percent="0" rank="0" text="" dxfId="0">
      <formula>$F8="✔ Concluído"</formula>
    </cfRule>
  </conditionalFormatting>
  <conditionalFormatting sqref="F8:F21">
    <cfRule type="expression" priority="4" aboveAverage="0" equalAverage="0" bottom="0" percent="0" rank="0" text="" dxfId="1">
      <formula>$F8="✔ Concluído"</formula>
    </cfRule>
  </conditionalFormatting>
  <conditionalFormatting sqref="L9:L12">
    <cfRule type="dataBar" priority="5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{F8A2EE96-9D41-4E5A-B6F7-D062CA7DACDA}</x14:id>
        </ext>
      </extLst>
    </cfRule>
  </conditionalFormatting>
  <dataValidations count="1">
    <dataValidation allowBlank="false" errorStyle="stop" operator="between" prompt="Escolha ✔ Concluído quando terminar a atividade" promptTitle="Status" showDropDown="false" showErrorMessage="false" showInputMessage="false" sqref="F8:F21" type="list">
      <formula1>"☐ Pendente,✔ Concluído"</formula1>
      <formula2>0</formula2>
    </dataValidation>
  </dataValidations>
  <hyperlinks>
    <hyperlink ref="D8" r:id="rId2" display="🔗 membros.empregadados.com.br"/>
    <hyperlink ref="D9" r:id="rId3" display="🔗 institutonta.curseduca.pro"/>
    <hyperlink ref="D11" r:id="rId4" display="🔗 studio.youtube.com"/>
    <hyperlink ref="D16" r:id="rId5" display="🔗 institutonta.curseduca.pro"/>
    <hyperlink ref="D19" r:id="rId6" display="🔗 studio.youtub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D7BF9A-3BAF-425C-9F77-3555EDD8D24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B5</xm:sqref>
        </x14:conditionalFormatting>
        <x14:conditionalFormatting xmlns:xm="http://schemas.microsoft.com/office/excel/2006/main">
          <x14:cfRule type="dataBar" id="{F8A2EE96-9D41-4E5A-B6F7-D062CA7DACD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L9:L12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32" t="s">
        <v>54</v>
      </c>
      <c r="B1" s="32"/>
      <c r="C1" s="32"/>
      <c r="D1" s="32"/>
    </row>
    <row r="3" customFormat="false" ht="15" hidden="false" customHeight="false" outlineLevel="0" collapsed="false">
      <c r="A3" s="26" t="s">
        <v>55</v>
      </c>
      <c r="B3" s="26" t="s">
        <v>56</v>
      </c>
      <c r="C3" s="26" t="s">
        <v>57</v>
      </c>
      <c r="D3" s="26" t="s">
        <v>58</v>
      </c>
    </row>
    <row r="4" customFormat="false" ht="30" hidden="false" customHeight="true" outlineLevel="0" collapsed="false">
      <c r="A4" s="33" t="s">
        <v>59</v>
      </c>
      <c r="B4" s="33" t="s">
        <v>60</v>
      </c>
      <c r="C4" s="34" t="s">
        <v>61</v>
      </c>
      <c r="D4" s="33" t="s">
        <v>22</v>
      </c>
    </row>
    <row r="5" customFormat="false" ht="30" hidden="false" customHeight="true" outlineLevel="0" collapsed="false">
      <c r="A5" s="33" t="s">
        <v>59</v>
      </c>
      <c r="B5" s="33" t="s">
        <v>23</v>
      </c>
      <c r="C5" s="33" t="s">
        <v>62</v>
      </c>
      <c r="D5" s="33"/>
    </row>
    <row r="6" customFormat="false" ht="30" hidden="false" customHeight="true" outlineLevel="0" collapsed="false">
      <c r="A6" s="33" t="s">
        <v>59</v>
      </c>
      <c r="B6" s="33" t="s">
        <v>63</v>
      </c>
      <c r="C6" s="34" t="s">
        <v>64</v>
      </c>
      <c r="D6" s="33"/>
    </row>
    <row r="7" customFormat="false" ht="30" hidden="false" customHeight="true" outlineLevel="0" collapsed="false">
      <c r="A7" s="33" t="s">
        <v>65</v>
      </c>
      <c r="B7" s="33" t="s">
        <v>66</v>
      </c>
      <c r="C7" s="34" t="s">
        <v>67</v>
      </c>
      <c r="D7" s="33" t="s">
        <v>28</v>
      </c>
    </row>
    <row r="8" customFormat="false" ht="30" hidden="false" customHeight="true" outlineLevel="0" collapsed="false">
      <c r="A8" s="33" t="s">
        <v>65</v>
      </c>
      <c r="B8" s="33" t="s">
        <v>68</v>
      </c>
      <c r="C8" s="33" t="s">
        <v>69</v>
      </c>
      <c r="D8" s="33"/>
    </row>
    <row r="9" customFormat="false" ht="30" hidden="false" customHeight="true" outlineLevel="0" collapsed="false">
      <c r="A9" s="33" t="s">
        <v>70</v>
      </c>
      <c r="B9" s="33" t="s">
        <v>71</v>
      </c>
      <c r="C9" s="33" t="s">
        <v>72</v>
      </c>
      <c r="D9" s="33"/>
    </row>
    <row r="10" customFormat="false" ht="30" hidden="false" customHeight="true" outlineLevel="0" collapsed="false">
      <c r="A10" s="33" t="s">
        <v>70</v>
      </c>
      <c r="B10" s="33" t="s">
        <v>73</v>
      </c>
      <c r="C10" s="33" t="s">
        <v>74</v>
      </c>
      <c r="D10" s="33"/>
    </row>
    <row r="11" customFormat="false" ht="30" hidden="false" customHeight="true" outlineLevel="0" collapsed="false">
      <c r="A11" s="33" t="s">
        <v>75</v>
      </c>
      <c r="B11" s="33" t="s">
        <v>76</v>
      </c>
      <c r="C11" s="34" t="s">
        <v>61</v>
      </c>
      <c r="D11" s="33" t="s">
        <v>22</v>
      </c>
    </row>
    <row r="12" customFormat="false" ht="30" hidden="false" customHeight="true" outlineLevel="0" collapsed="false">
      <c r="A12" s="33" t="s">
        <v>75</v>
      </c>
      <c r="B12" s="33" t="s">
        <v>77</v>
      </c>
      <c r="C12" s="33"/>
      <c r="D12" s="33" t="s">
        <v>44</v>
      </c>
    </row>
    <row r="13" customFormat="false" ht="30" hidden="false" customHeight="true" outlineLevel="0" collapsed="false">
      <c r="A13" s="33" t="s">
        <v>78</v>
      </c>
      <c r="B13" s="33" t="s">
        <v>79</v>
      </c>
      <c r="C13" s="33" t="s">
        <v>80</v>
      </c>
      <c r="D13" s="33"/>
    </row>
    <row r="14" customFormat="false" ht="30" hidden="false" customHeight="true" outlineLevel="0" collapsed="false">
      <c r="A14" s="33" t="s">
        <v>78</v>
      </c>
      <c r="B14" s="33" t="s">
        <v>66</v>
      </c>
      <c r="C14" s="34" t="s">
        <v>67</v>
      </c>
      <c r="D14" s="33" t="s">
        <v>28</v>
      </c>
    </row>
    <row r="15" customFormat="false" ht="30" hidden="false" customHeight="true" outlineLevel="0" collapsed="false">
      <c r="A15" s="33" t="s">
        <v>78</v>
      </c>
      <c r="B15" s="33" t="s">
        <v>81</v>
      </c>
      <c r="C15" s="33"/>
      <c r="D15" s="33" t="s">
        <v>51</v>
      </c>
    </row>
    <row r="16" customFormat="false" ht="30" hidden="false" customHeight="true" outlineLevel="0" collapsed="false">
      <c r="A16" s="33" t="s">
        <v>78</v>
      </c>
      <c r="B16" s="33" t="s">
        <v>23</v>
      </c>
      <c r="C16" s="33" t="s">
        <v>62</v>
      </c>
      <c r="D16" s="33"/>
    </row>
  </sheetData>
  <mergeCells count="1">
    <mergeCell ref="A1:D1"/>
  </mergeCells>
  <hyperlinks>
    <hyperlink ref="C4" r:id="rId1" display="https://institutonta.curseduca.pro/admin/home"/>
    <hyperlink ref="C6" r:id="rId2" display="https://membros.empregadados.com.br/"/>
    <hyperlink ref="C7" r:id="rId3" display="https://studio.youtube.com/channel/UCSAIAkpkuuP_lxAr5ixDFnw"/>
    <hyperlink ref="C11" r:id="rId4" display="https://institutonta.curseduca.pro/admin/home"/>
    <hyperlink ref="C14" r:id="rId5" display="https://studio.youtube.com/channel/UCSAIAkpkuuP_lxAr5ixDFn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2026-10-07T18:53:00Z</dcterms:created>
  <dc:creator>openpyxl</dc:creator>
  <dc:description/>
  <dc:language>en-US</dc:language>
  <cp:lastModifiedBy/>
  <dcterms:modified xsi:type="dcterms:W3CDTF">2026-10-07T18:53:00Z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